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/Library/Mobile Documents/com~apple~CloudDocs/_ETML/Modules/ICT-293/Projet/"/>
    </mc:Choice>
  </mc:AlternateContent>
  <xr:revisionPtr revIDLastSave="189" documentId="13_ncr:1_{697E3415-B233-7B41-9298-AC1EAF26780E}" xr6:coauthVersionLast="47" xr6:coauthVersionMax="47" xr10:uidLastSave="{5CF0337F-10D2-40B0-B8D8-7F7C9268934E}"/>
  <bookViews>
    <workbookView xWindow="0" yWindow="880" windowWidth="33600" windowHeight="1816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<sst xmlns="http://schemas.openxmlformats.org/spreadsheetml/2006/main" count="92" uniqueCount="59">
  <si>
    <t>Journal de travail</t>
  </si>
  <si>
    <t>Auteur:</t>
  </si>
  <si>
    <t>Chabal Damien</t>
  </si>
  <si>
    <t>Projet:</t>
  </si>
  <si>
    <t>P_BULLE</t>
  </si>
  <si>
    <t>Temps total:</t>
  </si>
  <si>
    <t>Date: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</si>
  <si>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</si>
  <si>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</si>
  <si>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</si>
  <si>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</si>
  <si>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</si>
  <si>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</si>
  <si>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</si>
  <si>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</si>
  <si>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Implémentation</t>
  </si>
  <si>
    <t>introducation du cours</t>
  </si>
  <si>
    <t>Fin ex1 "Hello Word"</t>
  </si>
  <si>
    <t>Analyse</t>
  </si>
  <si>
    <t>Fin ex2 "Lasagna"</t>
  </si>
  <si>
    <t>Fin ex3 "annalyns-infiltration"</t>
  </si>
  <si>
    <t>Test</t>
  </si>
  <si>
    <t>Fin ex4 "freelancer-rates"</t>
  </si>
  <si>
    <t>Documentation</t>
  </si>
  <si>
    <t>Fin ex5 "door-policy"</t>
  </si>
  <si>
    <t>Fin ex6 "elyses-enchantments"</t>
  </si>
  <si>
    <t>Fin ex7 "space-age"</t>
  </si>
  <si>
    <t>Fin ex8 "amusement-park"</t>
  </si>
  <si>
    <t>Fin ex9 "fruit-picker"</t>
  </si>
  <si>
    <t>Corrections exercices 7,8,9</t>
  </si>
  <si>
    <t>Fin ex10 "gigaseconde"</t>
  </si>
  <si>
    <t>Fin ex11 "captains-log"</t>
  </si>
  <si>
    <t>Fin ex12 "elyses-looping-enchantement"</t>
  </si>
  <si>
    <t>TS1</t>
  </si>
  <si>
    <t>Corrections exercice 11(capitains-log)</t>
  </si>
  <si>
    <t>Fin ex13 "Lucky-number"</t>
  </si>
  <si>
    <t>Corrections exercice 13(Lucky-number)</t>
  </si>
  <si>
    <t>Fin ex14 "bob"</t>
  </si>
  <si>
    <t>Fin ex15 "bird-watcher"</t>
  </si>
  <si>
    <t>Fin ex16 "elyses-destructured-enchantments"</t>
  </si>
  <si>
    <t>Fin ex17"mixed-juices"</t>
  </si>
  <si>
    <t>Fin ex18"elyses-analytic-enchantments"</t>
  </si>
  <si>
    <t>Fin ex19"train-driver"</t>
  </si>
  <si>
    <t>Fin ex20"vehicle-purchase"</t>
  </si>
  <si>
    <t>Fin ex21"two-fer"</t>
  </si>
  <si>
    <t>FIn ex22"resistor-color"</t>
  </si>
  <si>
    <t>Fin ex23"custom-signs"</t>
  </si>
  <si>
    <t>Fin ex24"bank-account"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</si>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</sst>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4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7" fontId="16" fillId="0" borderId="0" xfId="0" applyNumberFormat="1" applyFont="1" applyProtection="1"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0</c:v>
                </c:pt>
                <c:pt idx="1">
                  <c:v>1575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C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.      " dataDxfId="4"/>
    <tableColumn id="4" xr3:uid="{BE4D837D-FC99-BA48-A82F-B8C8E4CE5BF8}" name="min." dataDxfId="3"/>
    <tableColumn id="5" xr3:uid="{A2DCC539-6D2A-B04A-BF8E-6FACE6268D1F}" name="Type" dataDxfId="2"/>
    <tableColumn id="6" xr3:uid="{4EA406B9-7EF7-D547-AF98-5AD11BE168E9}" name="Description" dataDxfId="1"/>
    <tableColumn id="7" xr3:uid="{1735360B-2647-6D42-A0E3-3425EE302FFD}" name="Remarques/problè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20" activePane="bottomLeft" state="frozen"/>
      <selection pane="bottomLeft" activeCell="D36" sqref="D36"/>
    </sheetView>
  </sheetViews>
  <sheetFormatPr defaultColWidth="11" defaultRowHeight="15.9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4">
      <c r="A1" s="8"/>
      <c r="B1" s="9"/>
      <c r="C1" s="10"/>
      <c r="D1" s="10"/>
      <c r="E1" s="11"/>
      <c r="F1" s="12" t="s">
        <v>0</v>
      </c>
      <c r="G1" s="11"/>
    </row>
    <row r="2" spans="1:15" ht="24">
      <c r="A2" s="83" t="s">
        <v>1</v>
      </c>
      <c r="B2" s="83"/>
      <c r="C2" s="81" t="s">
        <v>2</v>
      </c>
      <c r="D2" s="81"/>
      <c r="E2" s="81"/>
      <c r="F2" s="5" t="s">
        <v>3</v>
      </c>
      <c r="G2" s="75" t="s">
        <v>4</v>
      </c>
    </row>
    <row r="3" spans="1:15" ht="24">
      <c r="A3" s="83" t="s">
        <v>5</v>
      </c>
      <c r="B3" s="83"/>
      <c r="C3" s="78" t="str">
        <f>QUOTIENT(E4,60)&amp;" heures "&amp;MOD(E4,60)&amp;" minutes"</f>
        <v>26 heures 15 minutes</v>
      </c>
      <c r="D3" s="19"/>
      <c r="E3" s="3"/>
      <c r="F3" s="4" t="s">
        <v>6</v>
      </c>
      <c r="G3" s="76"/>
    </row>
    <row r="4" spans="1:15" ht="24" hidden="1">
      <c r="B4" s="5"/>
      <c r="C4" s="19">
        <f>SUBTOTAL(9,$C$7:$C$531)*60</f>
        <v>840</v>
      </c>
      <c r="D4" s="19">
        <f>SUBTOTAL(9,$D$7:$D$531)</f>
        <v>735</v>
      </c>
      <c r="E4" s="29">
        <f>SUM(C4:D4)</f>
        <v>1575</v>
      </c>
      <c r="F4" s="4"/>
      <c r="G4" s="6"/>
    </row>
    <row r="5" spans="1:15">
      <c r="C5" s="82" t="s">
        <v>7</v>
      </c>
      <c r="D5" s="82"/>
    </row>
    <row r="6" spans="1:15" s="17" customFormat="1" ht="20.100000000000001" customHeight="1">
      <c r="A6" s="15" t="s">
        <v>8</v>
      </c>
      <c r="B6" s="26" t="s">
        <v>9</v>
      </c>
      <c r="C6" s="31" t="s">
        <v>10</v>
      </c>
      <c r="D6" s="18" t="s">
        <v>11</v>
      </c>
      <c r="E6" s="16" t="s">
        <v>12</v>
      </c>
      <c r="F6" s="16" t="s">
        <v>13</v>
      </c>
      <c r="G6" s="16" t="s">
        <v>14</v>
      </c>
    </row>
    <row r="7" spans="1:15" ht="16.5">
      <c r="A7" s="72">
        <f>IF(ISBLANK(B7),"",_xlfn.ISOWEEKNUM('Journal de travail'!$B7))</f>
        <v>45</v>
      </c>
      <c r="B7" s="32">
        <v>45968</v>
      </c>
      <c r="C7" s="33"/>
      <c r="D7" s="34">
        <v>30</v>
      </c>
      <c r="E7" s="35" t="s">
        <v>15</v>
      </c>
      <c r="F7" s="28" t="s">
        <v>16</v>
      </c>
      <c r="G7" s="44"/>
    </row>
    <row r="8" spans="1:15" ht="16.5">
      <c r="A8" s="73">
        <f>IF(ISBLANK(B8),"",_xlfn.ISOWEEKNUM('Journal de travail'!$B8))</f>
        <v>45</v>
      </c>
      <c r="B8" s="36">
        <v>45968</v>
      </c>
      <c r="C8" s="37"/>
      <c r="D8" s="38">
        <v>15</v>
      </c>
      <c r="E8" s="39" t="s">
        <v>15</v>
      </c>
      <c r="F8" s="28" t="s">
        <v>17</v>
      </c>
      <c r="G8" s="45"/>
      <c r="M8" t="s">
        <v>18</v>
      </c>
      <c r="N8">
        <v>1</v>
      </c>
      <c r="O8">
        <v>0</v>
      </c>
    </row>
    <row r="9" spans="1:15" ht="16.5">
      <c r="A9" s="74">
        <f>IF(ISBLANK(B9),"",_xlfn.ISOWEEKNUM('Journal de travail'!$B9))</f>
        <v>45</v>
      </c>
      <c r="B9" s="40">
        <v>45968</v>
      </c>
      <c r="C9" s="41"/>
      <c r="D9" s="42">
        <v>30</v>
      </c>
      <c r="E9" s="43" t="s">
        <v>15</v>
      </c>
      <c r="F9" s="28" t="s">
        <v>19</v>
      </c>
      <c r="G9" s="46"/>
      <c r="M9" t="s">
        <v>15</v>
      </c>
      <c r="N9">
        <v>2</v>
      </c>
      <c r="O9">
        <v>5</v>
      </c>
    </row>
    <row r="10" spans="1:15" ht="16.5">
      <c r="A10" s="73">
        <f>IF(ISBLANK(B10),"",_xlfn.ISOWEEKNUM('Journal de travail'!$B10))</f>
        <v>45</v>
      </c>
      <c r="B10" s="80">
        <v>45968</v>
      </c>
      <c r="C10" s="37">
        <v>1</v>
      </c>
      <c r="D10" s="38">
        <v>15</v>
      </c>
      <c r="E10" s="39" t="s">
        <v>15</v>
      </c>
      <c r="F10" s="28" t="s">
        <v>20</v>
      </c>
      <c r="G10" s="45"/>
      <c r="M10" t="s">
        <v>21</v>
      </c>
      <c r="N10">
        <v>3</v>
      </c>
      <c r="O10">
        <v>10</v>
      </c>
    </row>
    <row r="11" spans="1:15" ht="16.5">
      <c r="A11" s="74">
        <f>IF(ISBLANK(B11),"",_xlfn.ISOWEEKNUM('Journal de travail'!$B11))</f>
        <v>45</v>
      </c>
      <c r="B11" s="40">
        <v>45968</v>
      </c>
      <c r="C11" s="41">
        <v>1</v>
      </c>
      <c r="D11" s="42">
        <v>15</v>
      </c>
      <c r="E11" s="43" t="s">
        <v>15</v>
      </c>
      <c r="F11" s="28" t="s">
        <v>22</v>
      </c>
      <c r="G11" s="46"/>
      <c r="M11" t="s">
        <v>23</v>
      </c>
      <c r="N11">
        <v>4</v>
      </c>
      <c r="O11">
        <v>15</v>
      </c>
    </row>
    <row r="12" spans="1:15" ht="16.5">
      <c r="A12" s="73">
        <f>IF(ISBLANK(B12),"",_xlfn.ISOWEEKNUM('Journal de travail'!$B12))</f>
        <v>46</v>
      </c>
      <c r="B12" s="36">
        <v>45975</v>
      </c>
      <c r="C12" s="37">
        <v>1</v>
      </c>
      <c r="D12" s="38">
        <v>30</v>
      </c>
      <c r="E12" s="39" t="s">
        <v>15</v>
      </c>
      <c r="F12" s="28" t="s">
        <v>24</v>
      </c>
      <c r="G12" s="45"/>
      <c r="N12">
        <v>5</v>
      </c>
      <c r="O12">
        <v>20</v>
      </c>
    </row>
    <row r="13" spans="1:15" ht="16.5">
      <c r="A13" s="74">
        <f>IF(ISBLANK(B13),"",_xlfn.ISOWEEKNUM('Journal de travail'!$B13))</f>
        <v>46</v>
      </c>
      <c r="B13" s="40">
        <v>45975</v>
      </c>
      <c r="C13" s="41">
        <v>1</v>
      </c>
      <c r="D13" s="42">
        <v>30</v>
      </c>
      <c r="E13" s="43" t="s">
        <v>15</v>
      </c>
      <c r="F13" s="28" t="s">
        <v>25</v>
      </c>
      <c r="G13" s="46"/>
      <c r="N13">
        <v>6</v>
      </c>
      <c r="O13">
        <v>25</v>
      </c>
    </row>
    <row r="14" spans="1:15" ht="16.5">
      <c r="A14" s="73">
        <f>IF(ISBLANK(B14),"",_xlfn.ISOWEEKNUM('Journal de travail'!$B14))</f>
        <v>47</v>
      </c>
      <c r="B14" s="36">
        <v>45982</v>
      </c>
      <c r="C14" s="37">
        <v>1</v>
      </c>
      <c r="D14" s="38">
        <v>15</v>
      </c>
      <c r="E14" s="39" t="s">
        <v>15</v>
      </c>
      <c r="F14" s="28" t="s">
        <v>26</v>
      </c>
      <c r="G14" s="45"/>
      <c r="N14">
        <v>7</v>
      </c>
      <c r="O14">
        <v>30</v>
      </c>
    </row>
    <row r="15" spans="1:15" ht="16.5">
      <c r="A15" s="74">
        <f>IF(ISBLANK(B15),"",_xlfn.ISOWEEKNUM('Journal de travail'!$B15))</f>
        <v>47</v>
      </c>
      <c r="B15" s="40">
        <v>45982</v>
      </c>
      <c r="C15" s="41">
        <v>1</v>
      </c>
      <c r="D15" s="42">
        <v>15</v>
      </c>
      <c r="E15" s="43" t="s">
        <v>15</v>
      </c>
      <c r="F15" s="28" t="s">
        <v>27</v>
      </c>
      <c r="G15" s="46"/>
      <c r="N15">
        <v>8</v>
      </c>
      <c r="O15">
        <v>35</v>
      </c>
    </row>
    <row r="16" spans="1:15" ht="16.5">
      <c r="A16" s="73">
        <f>IF(ISBLANK(B16),"",_xlfn.ISOWEEKNUM('Journal de travail'!$B16))</f>
        <v>47</v>
      </c>
      <c r="B16" s="36">
        <v>45982</v>
      </c>
      <c r="C16" s="37">
        <v>1</v>
      </c>
      <c r="D16" s="38">
        <v>15</v>
      </c>
      <c r="E16" s="39" t="s">
        <v>15</v>
      </c>
      <c r="F16" s="28" t="s">
        <v>28</v>
      </c>
      <c r="G16" s="45"/>
      <c r="O16">
        <v>40</v>
      </c>
    </row>
    <row r="17" spans="1:15" ht="16.5">
      <c r="A17" s="74">
        <f>IF(ISBLANK(B17),"",_xlfn.ISOWEEKNUM('Journal de travail'!$B17))</f>
        <v>48</v>
      </c>
      <c r="B17" s="40">
        <v>45989</v>
      </c>
      <c r="C17" s="41"/>
      <c r="D17" s="42">
        <v>45</v>
      </c>
      <c r="E17" s="43" t="s">
        <v>15</v>
      </c>
      <c r="F17" s="28" t="s">
        <v>29</v>
      </c>
      <c r="G17" s="46"/>
      <c r="O17">
        <v>45</v>
      </c>
    </row>
    <row r="18" spans="1:15" ht="16.5">
      <c r="A18" s="73">
        <f>IF(ISBLANK(B18),"",_xlfn.ISOWEEKNUM('Journal de travail'!$B18))</f>
        <v>48</v>
      </c>
      <c r="B18" s="36">
        <v>45989</v>
      </c>
      <c r="C18" s="37">
        <v>1</v>
      </c>
      <c r="D18" s="38"/>
      <c r="E18" s="39" t="s">
        <v>15</v>
      </c>
      <c r="F18" s="28" t="s">
        <v>30</v>
      </c>
      <c r="G18" s="45"/>
      <c r="O18">
        <v>50</v>
      </c>
    </row>
    <row r="19" spans="1:15" ht="16.5">
      <c r="A19" s="74">
        <f>IF(ISBLANK(B19),"",_xlfn.ISOWEEKNUM('Journal de travail'!$B19))</f>
        <v>48</v>
      </c>
      <c r="B19" s="40">
        <v>45989</v>
      </c>
      <c r="C19" s="41">
        <v>1</v>
      </c>
      <c r="D19" s="42"/>
      <c r="E19" s="43" t="s">
        <v>15</v>
      </c>
      <c r="F19" s="28" t="s">
        <v>31</v>
      </c>
      <c r="G19" s="46"/>
      <c r="O19">
        <v>55</v>
      </c>
    </row>
    <row r="20" spans="1:15" ht="16.5">
      <c r="A20" s="73">
        <f>IF(ISBLANK(B20),"",_xlfn.ISOWEEKNUM('Journal de travail'!$B20))</f>
        <v>49</v>
      </c>
      <c r="B20" s="36">
        <v>45996</v>
      </c>
      <c r="C20" s="37">
        <v>2</v>
      </c>
      <c r="D20" s="38"/>
      <c r="E20" s="39" t="s">
        <v>15</v>
      </c>
      <c r="F20" s="28" t="s">
        <v>32</v>
      </c>
      <c r="G20" s="45"/>
    </row>
    <row r="21" spans="1:15" ht="16.5">
      <c r="A21" s="74">
        <f>IF(ISBLANK(B21),"",_xlfn.ISOWEEKNUM('Journal de travail'!$B21))</f>
        <v>50</v>
      </c>
      <c r="B21" s="40">
        <v>46003</v>
      </c>
      <c r="C21" s="41"/>
      <c r="D21" s="42">
        <v>45</v>
      </c>
      <c r="E21" s="43" t="s">
        <v>15</v>
      </c>
      <c r="F21" s="28" t="s">
        <v>33</v>
      </c>
      <c r="G21" s="46"/>
    </row>
    <row r="22" spans="1:15" ht="16.5">
      <c r="A22" s="73">
        <f>IF(ISBLANK(B22),"",_xlfn.ISOWEEKNUM('Journal de travail'!$B22))</f>
        <v>50</v>
      </c>
      <c r="B22" s="36">
        <v>46003</v>
      </c>
      <c r="C22" s="37"/>
      <c r="D22" s="38">
        <v>20</v>
      </c>
      <c r="E22" s="39" t="s">
        <v>15</v>
      </c>
      <c r="F22" s="28" t="s">
        <v>34</v>
      </c>
      <c r="G22" s="45"/>
    </row>
    <row r="23" spans="1:15" ht="15.75">
      <c r="A23" s="74">
        <f>IF(ISBLANK(B23),"",_xlfn.ISOWEEKNUM('Journal de travail'!$B23))</f>
        <v>50</v>
      </c>
      <c r="B23" s="40">
        <v>46003</v>
      </c>
      <c r="C23" s="41">
        <v>1</v>
      </c>
      <c r="D23" s="42"/>
      <c r="E23" s="43" t="s">
        <v>15</v>
      </c>
      <c r="F23" s="28" t="s">
        <v>35</v>
      </c>
      <c r="G23" s="46"/>
    </row>
    <row r="24" spans="1:15" ht="16.5">
      <c r="A24" s="73">
        <f>IF(ISBLANK(B24),"",_xlfn.ISOWEEKNUM('Journal de travail'!$B24))</f>
        <v>51</v>
      </c>
      <c r="B24" s="36">
        <v>46010</v>
      </c>
      <c r="C24" s="37"/>
      <c r="D24" s="38">
        <v>10</v>
      </c>
      <c r="E24" s="39" t="s">
        <v>15</v>
      </c>
      <c r="F24" s="28" t="s">
        <v>36</v>
      </c>
      <c r="G24" s="45"/>
    </row>
    <row r="25" spans="1:15" ht="16.5">
      <c r="A25" s="74">
        <f>IF(ISBLANK(B25),"",_xlfn.ISOWEEKNUM('Journal de travail'!$B25))</f>
        <v>51</v>
      </c>
      <c r="B25" s="40">
        <v>46010</v>
      </c>
      <c r="C25" s="41"/>
      <c r="D25" s="42">
        <v>45</v>
      </c>
      <c r="E25" s="43" t="s">
        <v>15</v>
      </c>
      <c r="F25" s="28" t="s">
        <v>37</v>
      </c>
      <c r="G25" s="46"/>
    </row>
    <row r="26" spans="1:15" ht="16.5">
      <c r="A26" s="73">
        <f>IF(ISBLANK(B26),"",_xlfn.ISOWEEKNUM('Journal de travail'!$B26))</f>
        <v>51</v>
      </c>
      <c r="B26" s="36">
        <v>46010</v>
      </c>
      <c r="C26" s="37">
        <v>1</v>
      </c>
      <c r="D26" s="38"/>
      <c r="E26" s="39" t="s">
        <v>15</v>
      </c>
      <c r="F26" s="28" t="s">
        <v>38</v>
      </c>
      <c r="G26" s="45"/>
    </row>
    <row r="27" spans="1:15" ht="16.5">
      <c r="A27" s="74">
        <f>IF(ISBLANK(B27),"",_xlfn.ISOWEEKNUM('Journal de travail'!$B27))</f>
        <v>51</v>
      </c>
      <c r="B27" s="40">
        <v>46010</v>
      </c>
      <c r="C27" s="41">
        <v>1</v>
      </c>
      <c r="D27" s="42"/>
      <c r="E27" s="43" t="s">
        <v>15</v>
      </c>
      <c r="F27" s="28" t="s">
        <v>39</v>
      </c>
      <c r="G27" s="46"/>
    </row>
    <row r="28" spans="1:15">
      <c r="A28" s="73">
        <f>IF(ISBLANK(B28),"",_xlfn.ISOWEEKNUM('Journal de travail'!$B28))</f>
        <v>2</v>
      </c>
      <c r="B28" s="36">
        <v>46030</v>
      </c>
      <c r="C28" s="37"/>
      <c r="D28" s="38">
        <v>45</v>
      </c>
      <c r="E28" s="39" t="s">
        <v>15</v>
      </c>
      <c r="F28" s="27" t="s">
        <v>40</v>
      </c>
      <c r="G28" s="45"/>
    </row>
    <row r="29" spans="1:15">
      <c r="A29" s="74">
        <f>IF(ISBLANK(B29),"",_xlfn.ISOWEEKNUM('Journal de travail'!$B29))</f>
        <v>2</v>
      </c>
      <c r="B29" s="40">
        <v>46030</v>
      </c>
      <c r="C29" s="41"/>
      <c r="D29" s="42">
        <v>45</v>
      </c>
      <c r="E29" s="43" t="s">
        <v>15</v>
      </c>
      <c r="F29" s="27" t="s">
        <v>41</v>
      </c>
      <c r="G29" s="46"/>
    </row>
    <row r="30" spans="1:15" ht="16.5">
      <c r="A30" s="73">
        <f>IF(ISBLANK(B30),"",_xlfn.ISOWEEKNUM('Journal de travail'!$B30))</f>
        <v>2</v>
      </c>
      <c r="B30" s="36">
        <v>46030</v>
      </c>
      <c r="C30" s="37"/>
      <c r="D30" s="38">
        <v>45</v>
      </c>
      <c r="E30" s="39" t="s">
        <v>15</v>
      </c>
      <c r="F30" s="28" t="s">
        <v>42</v>
      </c>
      <c r="G30" s="45"/>
    </row>
    <row r="31" spans="1:15">
      <c r="A31" s="74">
        <f>IF(ISBLANK(B31),"",_xlfn.ISOWEEKNUM('Journal de travail'!$B31))</f>
        <v>2</v>
      </c>
      <c r="B31" s="40">
        <v>46030</v>
      </c>
      <c r="C31" s="41"/>
      <c r="D31" s="42">
        <v>45</v>
      </c>
      <c r="E31" s="43" t="s">
        <v>15</v>
      </c>
      <c r="F31" s="27" t="s">
        <v>43</v>
      </c>
      <c r="G31" s="46"/>
    </row>
    <row r="32" spans="1:15" ht="16.5">
      <c r="A32" s="73">
        <f>IF(ISBLANK(B32),"",_xlfn.ISOWEEKNUM('Journal de travail'!$B32))</f>
        <v>2</v>
      </c>
      <c r="B32" s="36">
        <v>46030</v>
      </c>
      <c r="C32" s="37"/>
      <c r="D32" s="38">
        <v>45</v>
      </c>
      <c r="E32" s="39" t="s">
        <v>15</v>
      </c>
      <c r="F32" s="28" t="s">
        <v>44</v>
      </c>
      <c r="G32" s="45"/>
    </row>
    <row r="33" spans="1:7">
      <c r="A33" s="74">
        <f>IF(ISBLANK(B33),"",_xlfn.ISOWEEKNUM('Journal de travail'!$B33))</f>
        <v>2</v>
      </c>
      <c r="B33" s="40">
        <v>46031</v>
      </c>
      <c r="C33" s="41"/>
      <c r="D33" s="42">
        <v>45</v>
      </c>
      <c r="E33" s="43" t="s">
        <v>15</v>
      </c>
      <c r="F33" s="27" t="s">
        <v>45</v>
      </c>
      <c r="G33" s="46"/>
    </row>
    <row r="34" spans="1:7">
      <c r="A34" s="73">
        <f>IF(ISBLANK(B34),"",_xlfn.ISOWEEKNUM('Journal de travail'!$B34))</f>
        <v>2</v>
      </c>
      <c r="B34" s="36">
        <v>46031</v>
      </c>
      <c r="C34" s="37"/>
      <c r="D34" s="38">
        <v>45</v>
      </c>
      <c r="E34" s="39" t="s">
        <v>15</v>
      </c>
      <c r="F34" s="27" t="s">
        <v>46</v>
      </c>
      <c r="G34" s="45"/>
    </row>
    <row r="35" spans="1:7" ht="16.5">
      <c r="A35" s="74">
        <f>IF(ISBLANK(B35),"",_xlfn.ISOWEEKNUM('Journal de travail'!$B35))</f>
        <v>2</v>
      </c>
      <c r="B35" s="40">
        <v>46031</v>
      </c>
      <c r="C35" s="41"/>
      <c r="D35" s="42">
        <v>45</v>
      </c>
      <c r="E35" s="43" t="s">
        <v>15</v>
      </c>
      <c r="F35" s="28" t="s">
        <v>47</v>
      </c>
      <c r="G35" s="46"/>
    </row>
    <row r="36" spans="1:7">
      <c r="A36" s="73" t="str">
        <f>IF(ISBLANK(B36),"",_xlfn.ISOWEEKNUM('Journal de travail'!$B36))</f>
        <v/>
      </c>
      <c r="B36" s="36"/>
      <c r="C36" s="37"/>
      <c r="D36" s="38"/>
      <c r="E36" s="39"/>
      <c r="F36" s="27"/>
      <c r="G36" s="45"/>
    </row>
    <row r="37" spans="1:7">
      <c r="A37" s="74" t="str">
        <f>IF(ISBLANK(B37),"",_xlfn.ISOWEEKNUM('Journal de travail'!$B37))</f>
        <v/>
      </c>
      <c r="B37" s="40"/>
      <c r="C37" s="41"/>
      <c r="D37" s="42"/>
      <c r="E37" s="43"/>
      <c r="F37" s="27"/>
      <c r="G37" s="46"/>
    </row>
    <row r="38" spans="1:7">
      <c r="A38" s="73" t="str">
        <f>IF(ISBLANK(B38),"",_xlfn.ISOWEEKNUM('Journal de travail'!$B38))</f>
        <v/>
      </c>
      <c r="B38" s="36"/>
      <c r="C38" s="37"/>
      <c r="D38" s="38"/>
      <c r="E38" s="39"/>
      <c r="F38" s="27"/>
      <c r="G38" s="45"/>
    </row>
    <row r="39" spans="1:7">
      <c r="A39" s="74" t="str">
        <f>IF(ISBLANK(B39),"",_xlfn.ISOWEEKNUM('Journal de travail'!$B39))</f>
        <v/>
      </c>
      <c r="B39" s="40"/>
      <c r="C39" s="41"/>
      <c r="D39" s="42"/>
      <c r="E39" s="43"/>
      <c r="F39" s="27"/>
      <c r="G39" s="46"/>
    </row>
    <row r="40" spans="1:7">
      <c r="A40" s="73" t="str">
        <f>IF(ISBLANK(B40),"",_xlfn.ISOWEEKNUM('Journal de travail'!$B40))</f>
        <v/>
      </c>
      <c r="B40" s="36"/>
      <c r="C40" s="37"/>
      <c r="D40" s="38"/>
      <c r="E40" s="39"/>
      <c r="F40" s="27"/>
      <c r="G40" s="45"/>
    </row>
    <row r="41" spans="1:7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workbookViewId="0">
      <selection activeCell="N7" sqref="N7"/>
    </sheetView>
  </sheetViews>
  <sheetFormatPr defaultColWidth="11" defaultRowHeight="18.95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>
      <c r="E2" s="77" t="s">
        <v>48</v>
      </c>
      <c r="F2" s="79">
        <v>88</v>
      </c>
      <c r="G2" s="77" t="s">
        <v>49</v>
      </c>
      <c r="L2" s="20"/>
      <c r="M2" s="52"/>
      <c r="N2" s="20"/>
    </row>
    <row r="3" spans="1:14">
      <c r="L3" s="24"/>
      <c r="M3" s="25"/>
      <c r="N3" s="24"/>
    </row>
    <row r="4" spans="1:14" ht="21">
      <c r="E4" s="77" t="s">
        <v>50</v>
      </c>
      <c r="L4" s="77" t="s">
        <v>51</v>
      </c>
      <c r="M4" s="48"/>
      <c r="N4" s="24"/>
    </row>
    <row r="5" spans="1:14">
      <c r="A5" t="s">
        <v>52</v>
      </c>
      <c r="B5" t="s">
        <v>53</v>
      </c>
      <c r="C5" s="48" t="s">
        <v>54</v>
      </c>
      <c r="D5" s="49"/>
      <c r="E5" s="53" t="s">
        <v>55</v>
      </c>
      <c r="F5" s="54" t="s">
        <v>56</v>
      </c>
      <c r="G5" s="58" t="s">
        <v>57</v>
      </c>
      <c r="L5" s="59" t="s">
        <v>55</v>
      </c>
      <c r="M5" s="60" t="s">
        <v>56</v>
      </c>
      <c r="N5" s="61" t="s">
        <v>57</v>
      </c>
    </row>
    <row r="6" spans="1:14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9" si="0">SUM(A6:B6)</f>
        <v>0</v>
      </c>
      <c r="E6" s="21" t="str">
        <f>'Journal de travail'!M8</f>
        <v>Analyse</v>
      </c>
      <c r="F6" s="50" t="str">
        <f>QUOTIENT(SUM(A6:B6),60)&amp;" h "&amp;TEXT(MOD(SUM(A6:B6),60), "00")&amp;" min"</f>
        <v>0 h 00 min</v>
      </c>
      <c r="G6" s="47">
        <f>SUM(A6:B6)/$C$10</f>
        <v>0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>
      <c r="A7">
        <f>SUMIF('Journal de travail'!$E$7:$E$532,Plannification!E7,'Journal de travail'!$C$7:$C$532)*60</f>
        <v>840</v>
      </c>
      <c r="B7">
        <f>SUMIF('Journal de travail'!$E$7:$E$532,Plannification!E7,'Journal de travail'!$D$7:$D$532)</f>
        <v>735</v>
      </c>
      <c r="C7">
        <f t="shared" si="0"/>
        <v>1575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26 h 15 min</v>
      </c>
      <c r="G7" s="56">
        <f t="shared" ref="G7:G9" si="2">SUM(A7:B7)/$C$10</f>
        <v>1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22" t="str">
        <f>'Journal de travail'!M10</f>
        <v>Test</v>
      </c>
      <c r="F8" s="50" t="str">
        <f t="shared" si="1"/>
        <v>0 h 00 min</v>
      </c>
      <c r="G8" s="47">
        <f t="shared" si="2"/>
        <v>0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23" t="str">
        <f>'Journal de travail'!M11</f>
        <v>Documentation</v>
      </c>
      <c r="F9" s="55" t="str">
        <f t="shared" si="1"/>
        <v>0 h 00 min</v>
      </c>
      <c r="G9" s="56">
        <f t="shared" si="2"/>
        <v>0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>
      <c r="A10">
        <f>SUM(A6:A9)</f>
        <v>840</v>
      </c>
      <c r="B10">
        <f>SUM(B6:B9)</f>
        <v>735</v>
      </c>
      <c r="C10">
        <f>SUM(A10:B10)</f>
        <v>1575</v>
      </c>
      <c r="E10" s="20" t="s">
        <v>58</v>
      </c>
      <c r="F10" s="50" t="str">
        <f t="shared" si="1"/>
        <v>26 h 15 min</v>
      </c>
      <c r="G10" s="57">
        <f>C10/C11</f>
        <v>0.29829545454545453</v>
      </c>
      <c r="L10" s="67" t="s">
        <v>58</v>
      </c>
      <c r="M10" s="68"/>
      <c r="N10" s="71">
        <f>SUM(N6:N9)</f>
        <v>1</v>
      </c>
    </row>
    <row r="11" spans="1:14">
      <c r="C11">
        <f>F2*60</f>
        <v>5280</v>
      </c>
    </row>
    <row r="12" spans="1:14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workbookViewId="0">
      <selection activeCell="R36" sqref="R36"/>
    </sheetView>
  </sheetViews>
  <sheetFormatPr defaultColWidth="11" defaultRowHeight="15.9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4" ma:contentTypeDescription="Crée un document." ma:contentTypeScope="" ma:versionID="020ab319e6f8d23aec07c29d6516d4ba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1e15d3f914bf2a775f9387e5284d9197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g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g" ma:index="19" nillable="true" ma:displayName="img" ma:format="Thumbnail" ma:internalName="img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86e10-26db-4459-bf3d-04e058c4da00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img xmlns="b5cf4370-ac38-4b9e-9836-ef6f5df64f24" xsi:nil="true"/>
  </documentManagement>
</p:properties>
</file>

<file path=customXml/itemProps1.xml><?xml version="1.0" encoding="utf-8"?>
<ds:datastoreItem xmlns:ds="http://schemas.openxmlformats.org/officeDocument/2006/customXml" ds:itemID="{74326215-CB02-4E95-BFFB-9EC625B1BF0F}"/>
</file>

<file path=customXml/itemProps2.xml><?xml version="1.0" encoding="utf-8"?>
<ds:datastoreItem xmlns:ds="http://schemas.openxmlformats.org/officeDocument/2006/customXml" ds:itemID="{B6394C10-4386-493D-A99B-15992834CB10}"/>
</file>

<file path=customXml/itemProps3.xml><?xml version="1.0" encoding="utf-8"?>
<ds:datastoreItem xmlns:ds="http://schemas.openxmlformats.org/officeDocument/2006/customXml" ds:itemID="{0453EC0E-0298-408B-815C-A1500DB4F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Damien Chabal</cp:lastModifiedBy>
  <cp:revision/>
  <dcterms:created xsi:type="dcterms:W3CDTF">2023-11-21T20:00:34Z</dcterms:created>
  <dcterms:modified xsi:type="dcterms:W3CDTF">2026-01-09T14:55:07Z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